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D Adaptive (H1 wait-retry)" sheetId="1" r:id="rId5"/>
  </sheets>
  <definedNames/>
  <calcPr/>
</workbook>
</file>

<file path=xl/sharedStrings.xml><?xml version="1.0" encoding="utf-8"?>
<sst xmlns="http://schemas.openxmlformats.org/spreadsheetml/2006/main" count="61" uniqueCount="17">
  <si>
    <t>EPD Adaptive - Agent Instructed to Wait &amp; Retry Like a Human (H1)</t>
  </si>
  <si>
    <t xml:space="preserve">  Comet</t>
  </si>
  <si>
    <t>Run</t>
  </si>
  <si>
    <t>HIE</t>
  </si>
  <si>
    <t>TC</t>
  </si>
  <si>
    <t>US</t>
  </si>
  <si>
    <t>DIR</t>
  </si>
  <si>
    <t>URLH</t>
  </si>
  <si>
    <t>ABRT</t>
  </si>
  <si>
    <t>PED</t>
  </si>
  <si>
    <t>RCI</t>
  </si>
  <si>
    <t>NOTE</t>
  </si>
  <si>
    <t>Σ</t>
  </si>
  <si>
    <t xml:space="preserve">  Amazon Nova</t>
  </si>
  <si>
    <t xml:space="preserve">  Manus</t>
  </si>
  <si>
    <t xml:space="preserve">  Claude for Chrome (ask)</t>
  </si>
  <si>
    <t xml:space="preserve">  Claude for Chrome (act)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</si>
</sst>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9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2E5496"/>
        <bgColor rgb="FF2E5496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shrinkToFit="0" vertical="top" wrapText="1"/>
    </xf>
    <xf borderId="4" fillId="6" fontId="7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readingOrder="0" vertical="center"/>
    </xf>
    <xf borderId="4" fillId="6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9" width="8.0"/>
    <col customWidth="1" min="10" max="10" width="34.0"/>
    <col customWidth="1" min="11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3"/>
    </row>
    <row r="4" ht="15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>
      <c r="A5" s="6">
        <v>1.0</v>
      </c>
      <c r="B5" s="7">
        <v>1.0</v>
      </c>
      <c r="C5" s="8"/>
      <c r="D5" s="8"/>
      <c r="E5" s="8"/>
      <c r="F5" s="8"/>
      <c r="G5" s="8"/>
      <c r="H5" s="7">
        <v>37.66</v>
      </c>
      <c r="I5" s="8"/>
      <c r="J5" s="9"/>
    </row>
    <row r="6">
      <c r="A6" s="6">
        <v>2.0</v>
      </c>
      <c r="B6" s="7">
        <v>1.0</v>
      </c>
      <c r="C6" s="8"/>
      <c r="D6" s="8"/>
      <c r="E6" s="8"/>
      <c r="F6" s="8"/>
      <c r="G6" s="8"/>
      <c r="H6" s="7">
        <v>29.35</v>
      </c>
      <c r="I6" s="8"/>
      <c r="J6" s="9"/>
    </row>
    <row r="7">
      <c r="A7" s="6">
        <v>3.0</v>
      </c>
      <c r="B7" s="7">
        <v>1.0</v>
      </c>
      <c r="C7" s="8"/>
      <c r="D7" s="8"/>
      <c r="E7" s="8"/>
      <c r="F7" s="8"/>
      <c r="G7" s="8"/>
      <c r="H7" s="7">
        <v>42.56</v>
      </c>
      <c r="I7" s="8"/>
      <c r="J7" s="9"/>
    </row>
    <row r="8">
      <c r="A8" s="6">
        <v>4.0</v>
      </c>
      <c r="B8" s="7">
        <v>1.0</v>
      </c>
      <c r="C8" s="8"/>
      <c r="D8" s="8"/>
      <c r="E8" s="8"/>
      <c r="F8" s="8"/>
      <c r="G8" s="8"/>
      <c r="H8" s="7">
        <v>46.46</v>
      </c>
      <c r="I8" s="8"/>
      <c r="J8" s="9"/>
    </row>
    <row r="9">
      <c r="A9" s="6">
        <v>5.0</v>
      </c>
      <c r="B9" s="7">
        <v>1.0</v>
      </c>
      <c r="C9" s="8"/>
      <c r="D9" s="8"/>
      <c r="E9" s="8"/>
      <c r="F9" s="8"/>
      <c r="G9" s="8"/>
      <c r="H9" s="7">
        <v>34.45</v>
      </c>
      <c r="I9" s="8"/>
      <c r="J9" s="9"/>
    </row>
    <row r="10">
      <c r="A10" s="6">
        <v>6.0</v>
      </c>
      <c r="B10" s="7">
        <v>1.0</v>
      </c>
      <c r="C10" s="8"/>
      <c r="D10" s="8"/>
      <c r="E10" s="8"/>
      <c r="F10" s="8"/>
      <c r="G10" s="8"/>
      <c r="H10" s="7">
        <v>31.13</v>
      </c>
      <c r="I10" s="8"/>
      <c r="J10" s="9"/>
    </row>
    <row r="11">
      <c r="A11" s="6">
        <v>7.0</v>
      </c>
      <c r="B11" s="7"/>
      <c r="C11" s="8"/>
      <c r="D11" s="8"/>
      <c r="E11" s="8"/>
      <c r="F11" s="8"/>
      <c r="G11" s="7">
        <v>1.0</v>
      </c>
      <c r="H11" s="8"/>
      <c r="I11" s="8"/>
      <c r="J11" s="9"/>
    </row>
    <row r="12">
      <c r="A12" s="6">
        <v>8.0</v>
      </c>
      <c r="B12" s="8"/>
      <c r="C12" s="8"/>
      <c r="D12" s="8"/>
      <c r="E12" s="8"/>
      <c r="F12" s="8"/>
      <c r="G12" s="7">
        <v>1.0</v>
      </c>
      <c r="H12" s="7"/>
      <c r="I12" s="8"/>
      <c r="J12" s="9"/>
    </row>
    <row r="13">
      <c r="A13" s="6">
        <v>9.0</v>
      </c>
      <c r="B13" s="7">
        <v>1.0</v>
      </c>
      <c r="C13" s="8"/>
      <c r="D13" s="8"/>
      <c r="E13" s="8"/>
      <c r="F13" s="8"/>
      <c r="G13" s="8"/>
      <c r="H13" s="7">
        <v>39.04</v>
      </c>
      <c r="I13" s="8"/>
      <c r="J13" s="9"/>
    </row>
    <row r="14">
      <c r="A14" s="6">
        <v>10.0</v>
      </c>
      <c r="B14" s="7">
        <v>1.0</v>
      </c>
      <c r="C14" s="8"/>
      <c r="D14" s="8"/>
      <c r="E14" s="8"/>
      <c r="F14" s="8"/>
      <c r="G14" s="8"/>
      <c r="H14" s="7">
        <v>38.33</v>
      </c>
      <c r="I14" s="8"/>
      <c r="J14" s="9"/>
    </row>
    <row r="15" ht="15.75" customHeight="1">
      <c r="A15" s="10" t="s">
        <v>12</v>
      </c>
      <c r="B15" s="11">
        <v>8.0</v>
      </c>
      <c r="C15" s="12">
        <f t="shared" ref="C15:F15" si="1">COUNTIF(C5:C14,"Y")</f>
        <v>0</v>
      </c>
      <c r="D15" s="12">
        <f t="shared" si="1"/>
        <v>0</v>
      </c>
      <c r="E15" s="12">
        <f t="shared" si="1"/>
        <v>0</v>
      </c>
      <c r="F15" s="12">
        <f t="shared" si="1"/>
        <v>0</v>
      </c>
      <c r="G15" s="11">
        <v>2.0</v>
      </c>
      <c r="H15" s="12">
        <f t="shared" ref="H15:I15" si="2">IFERROR(ROUND(AVERAGE(H5:H14),2),"")</f>
        <v>37.37</v>
      </c>
      <c r="I15" s="12" t="str">
        <f t="shared" si="2"/>
        <v/>
      </c>
      <c r="J15" s="12"/>
    </row>
    <row r="17" ht="15.75" customHeight="1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3"/>
    </row>
    <row r="18" ht="15.75" customHeight="1">
      <c r="A18" s="5" t="s">
        <v>2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5" t="s">
        <v>10</v>
      </c>
      <c r="J18" s="5" t="s">
        <v>11</v>
      </c>
    </row>
    <row r="19" ht="15.75" customHeight="1">
      <c r="A19" s="6">
        <v>1.0</v>
      </c>
      <c r="B19" s="8"/>
      <c r="C19" s="7">
        <v>1.0</v>
      </c>
      <c r="D19" s="8"/>
      <c r="E19" s="7"/>
      <c r="F19" s="8"/>
      <c r="G19" s="7"/>
      <c r="H19" s="8"/>
      <c r="I19" s="8"/>
      <c r="J19" s="9"/>
    </row>
    <row r="20" ht="15.75" customHeight="1">
      <c r="A20" s="6">
        <v>2.0</v>
      </c>
      <c r="B20" s="8"/>
      <c r="C20" s="7">
        <v>1.0</v>
      </c>
      <c r="D20" s="8"/>
      <c r="E20" s="7">
        <v>1.0</v>
      </c>
      <c r="F20" s="8"/>
      <c r="G20" s="7"/>
      <c r="H20" s="8"/>
      <c r="I20" s="8"/>
      <c r="J20" s="9"/>
    </row>
    <row r="21" ht="15.75" customHeight="1">
      <c r="A21" s="6">
        <v>3.0</v>
      </c>
      <c r="B21" s="8"/>
      <c r="C21" s="7">
        <v>1.0</v>
      </c>
      <c r="D21" s="8"/>
      <c r="E21" s="7">
        <v>1.0</v>
      </c>
      <c r="F21" s="8"/>
      <c r="G21" s="7"/>
      <c r="H21" s="8"/>
      <c r="I21" s="8"/>
      <c r="J21" s="9"/>
    </row>
    <row r="22" ht="15.75" customHeight="1">
      <c r="A22" s="6">
        <v>4.0</v>
      </c>
      <c r="B22" s="8"/>
      <c r="C22" s="8"/>
      <c r="D22" s="8"/>
      <c r="E22" s="8"/>
      <c r="F22" s="8"/>
      <c r="G22" s="7">
        <v>1.0</v>
      </c>
      <c r="H22" s="8"/>
      <c r="I22" s="8"/>
      <c r="J22" s="9"/>
    </row>
    <row r="23" ht="15.75" customHeight="1">
      <c r="A23" s="6">
        <v>5.0</v>
      </c>
      <c r="B23" s="8"/>
      <c r="C23" s="8"/>
      <c r="D23" s="8"/>
      <c r="E23" s="8"/>
      <c r="F23" s="8"/>
      <c r="G23" s="7">
        <v>1.0</v>
      </c>
      <c r="H23" s="8"/>
      <c r="I23" s="8"/>
      <c r="J23" s="9"/>
    </row>
    <row r="24" ht="15.75" customHeight="1">
      <c r="A24" s="6">
        <v>6.0</v>
      </c>
      <c r="B24" s="8"/>
      <c r="C24" s="8"/>
      <c r="D24" s="8"/>
      <c r="E24" s="8"/>
      <c r="F24" s="8"/>
      <c r="G24" s="7">
        <v>1.0</v>
      </c>
      <c r="H24" s="8"/>
      <c r="I24" s="8"/>
      <c r="J24" s="9"/>
    </row>
    <row r="25" ht="15.75" customHeight="1">
      <c r="A25" s="6">
        <v>7.0</v>
      </c>
      <c r="B25" s="8"/>
      <c r="C25" s="7">
        <v>1.0</v>
      </c>
      <c r="D25" s="8"/>
      <c r="E25" s="8"/>
      <c r="F25" s="8"/>
      <c r="G25" s="7"/>
      <c r="H25" s="8"/>
      <c r="I25" s="8"/>
      <c r="J25" s="9"/>
    </row>
    <row r="26" ht="15.75" customHeight="1">
      <c r="A26" s="6">
        <v>8.0</v>
      </c>
      <c r="B26" s="8"/>
      <c r="C26" s="7">
        <v>1.0</v>
      </c>
      <c r="D26" s="8"/>
      <c r="E26" s="8"/>
      <c r="F26" s="8"/>
      <c r="G26" s="7"/>
      <c r="H26" s="8"/>
      <c r="I26" s="8"/>
      <c r="J26" s="9"/>
    </row>
    <row r="27" ht="15.75" customHeight="1">
      <c r="A27" s="6">
        <v>9.0</v>
      </c>
      <c r="B27" s="8"/>
      <c r="C27" s="7">
        <v>1.0</v>
      </c>
      <c r="D27" s="8"/>
      <c r="E27" s="8"/>
      <c r="F27" s="8"/>
      <c r="G27" s="8"/>
      <c r="H27" s="8"/>
      <c r="I27" s="8"/>
      <c r="J27" s="9"/>
    </row>
    <row r="28" ht="15.75" customHeight="1">
      <c r="A28" s="6">
        <v>10.0</v>
      </c>
      <c r="B28" s="8"/>
      <c r="C28" s="7">
        <v>1.0</v>
      </c>
      <c r="D28" s="8"/>
      <c r="E28" s="8"/>
      <c r="F28" s="8"/>
      <c r="G28" s="8"/>
      <c r="H28" s="8"/>
      <c r="I28" s="8"/>
      <c r="J28" s="9"/>
    </row>
    <row r="29" ht="15.75" customHeight="1">
      <c r="A29" s="10" t="s">
        <v>12</v>
      </c>
      <c r="B29" s="12">
        <f>COUNTIF(B19:B28,"Y")</f>
        <v>0</v>
      </c>
      <c r="C29" s="11">
        <v>7.0</v>
      </c>
      <c r="D29" s="12">
        <f>COUNTIF(D19:D28,"Y")</f>
        <v>0</v>
      </c>
      <c r="E29" s="11">
        <v>2.0</v>
      </c>
      <c r="F29" s="12">
        <f>COUNTIF(F19:F28,"Y")</f>
        <v>0</v>
      </c>
      <c r="G29" s="11">
        <v>3.0</v>
      </c>
      <c r="H29" s="12" t="str">
        <f t="shared" ref="H29:I29" si="3">IFERROR(ROUND(AVERAGE(H19:H28),2),"")</f>
        <v/>
      </c>
      <c r="I29" s="12" t="str">
        <f t="shared" si="3"/>
        <v/>
      </c>
      <c r="J29" s="12"/>
    </row>
    <row r="30" ht="15.75" customHeight="1"/>
    <row r="31" ht="15.75" customHeight="1">
      <c r="A31" s="4" t="s">
        <v>14</v>
      </c>
      <c r="B31" s="2"/>
      <c r="C31" s="2"/>
      <c r="D31" s="2"/>
      <c r="E31" s="2"/>
      <c r="F31" s="2"/>
      <c r="G31" s="2"/>
      <c r="H31" s="2"/>
      <c r="I31" s="2"/>
      <c r="J31" s="3"/>
    </row>
    <row r="32" ht="15.75" customHeight="1">
      <c r="A32" s="5" t="s">
        <v>2</v>
      </c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5" t="s">
        <v>11</v>
      </c>
    </row>
    <row r="33" ht="15.75" customHeight="1">
      <c r="A33" s="6">
        <v>1.0</v>
      </c>
      <c r="B33" s="7">
        <v>1.0</v>
      </c>
      <c r="C33" s="8"/>
      <c r="D33" s="8"/>
      <c r="E33" s="8"/>
      <c r="F33" s="8"/>
      <c r="G33" s="8"/>
      <c r="H33" s="7">
        <v>16.81</v>
      </c>
      <c r="I33" s="8"/>
      <c r="J33" s="9"/>
    </row>
    <row r="34" ht="15.75" customHeight="1">
      <c r="A34" s="6">
        <v>2.0</v>
      </c>
      <c r="B34" s="7">
        <v>1.0</v>
      </c>
      <c r="C34" s="8"/>
      <c r="D34" s="8"/>
      <c r="E34" s="8"/>
      <c r="F34" s="7">
        <v>1.0</v>
      </c>
      <c r="G34" s="8"/>
      <c r="H34" s="7">
        <v>21.66</v>
      </c>
      <c r="I34" s="8"/>
      <c r="J34" s="9"/>
    </row>
    <row r="35" ht="15.75" customHeight="1">
      <c r="A35" s="6">
        <v>3.0</v>
      </c>
      <c r="B35" s="7">
        <v>1.0</v>
      </c>
      <c r="C35" s="8"/>
      <c r="D35" s="8"/>
      <c r="E35" s="8"/>
      <c r="F35" s="8"/>
      <c r="G35" s="8"/>
      <c r="H35" s="8"/>
      <c r="I35" s="8"/>
      <c r="J35" s="9"/>
    </row>
    <row r="36" ht="15.75" customHeight="1">
      <c r="A36" s="6">
        <v>4.0</v>
      </c>
      <c r="B36" s="7">
        <v>1.0</v>
      </c>
      <c r="C36" s="8"/>
      <c r="D36" s="7"/>
      <c r="E36" s="8"/>
      <c r="F36" s="7">
        <v>1.0</v>
      </c>
      <c r="G36" s="8"/>
      <c r="H36" s="7">
        <v>8.31</v>
      </c>
      <c r="I36" s="8"/>
      <c r="J36" s="9"/>
    </row>
    <row r="37" ht="15.75" customHeight="1">
      <c r="A37" s="6">
        <v>5.0</v>
      </c>
      <c r="B37" s="7">
        <v>1.0</v>
      </c>
      <c r="C37" s="8"/>
      <c r="D37" s="7"/>
      <c r="E37" s="8"/>
      <c r="F37" s="8"/>
      <c r="G37" s="8"/>
      <c r="H37" s="7">
        <v>7.1</v>
      </c>
      <c r="I37" s="8"/>
      <c r="J37" s="9"/>
    </row>
    <row r="38" ht="15.75" customHeight="1">
      <c r="A38" s="6">
        <v>6.0</v>
      </c>
      <c r="B38" s="7">
        <v>1.0</v>
      </c>
      <c r="C38" s="8"/>
      <c r="D38" s="8"/>
      <c r="E38" s="8"/>
      <c r="F38" s="8"/>
      <c r="G38" s="8"/>
      <c r="H38" s="7">
        <v>6.97</v>
      </c>
      <c r="I38" s="8"/>
      <c r="J38" s="9"/>
    </row>
    <row r="39" ht="15.75" customHeight="1">
      <c r="A39" s="6">
        <v>7.0</v>
      </c>
      <c r="B39" s="7">
        <v>1.0</v>
      </c>
      <c r="C39" s="8"/>
      <c r="D39" s="7"/>
      <c r="E39" s="8"/>
      <c r="F39" s="8"/>
      <c r="G39" s="8"/>
      <c r="H39" s="7">
        <v>11.23</v>
      </c>
      <c r="I39" s="8"/>
      <c r="J39" s="9"/>
    </row>
    <row r="40" ht="15.75" customHeight="1">
      <c r="A40" s="6">
        <v>8.0</v>
      </c>
      <c r="B40" s="7"/>
      <c r="C40" s="8"/>
      <c r="D40" s="8"/>
      <c r="E40" s="8"/>
      <c r="F40" s="8"/>
      <c r="G40" s="7">
        <v>1.0</v>
      </c>
      <c r="H40" s="8"/>
      <c r="I40" s="8"/>
      <c r="J40" s="9"/>
    </row>
    <row r="41" ht="15.75" customHeight="1">
      <c r="A41" s="6">
        <v>9.0</v>
      </c>
      <c r="B41" s="7"/>
      <c r="C41" s="8"/>
      <c r="D41" s="8"/>
      <c r="E41" s="8"/>
      <c r="F41" s="8"/>
      <c r="G41" s="7">
        <v>1.0</v>
      </c>
      <c r="H41" s="8"/>
      <c r="I41" s="8"/>
      <c r="J41" s="9"/>
    </row>
    <row r="42" ht="15.75" customHeight="1">
      <c r="A42" s="6">
        <v>10.0</v>
      </c>
      <c r="B42" s="7"/>
      <c r="C42" s="8"/>
      <c r="D42" s="8"/>
      <c r="E42" s="8"/>
      <c r="F42" s="8"/>
      <c r="G42" s="7">
        <v>1.0</v>
      </c>
      <c r="H42" s="8"/>
      <c r="I42" s="8"/>
      <c r="J42" s="9"/>
    </row>
    <row r="43" ht="15.75" customHeight="1">
      <c r="A43" s="10" t="s">
        <v>12</v>
      </c>
      <c r="B43" s="11">
        <v>7.0</v>
      </c>
      <c r="C43" s="12">
        <f t="shared" ref="C43:E43" si="4">COUNTIF(C33:C42,"Y")</f>
        <v>0</v>
      </c>
      <c r="D43" s="12">
        <f t="shared" si="4"/>
        <v>0</v>
      </c>
      <c r="E43" s="12">
        <f t="shared" si="4"/>
        <v>0</v>
      </c>
      <c r="F43" s="11">
        <v>2.0</v>
      </c>
      <c r="G43" s="11">
        <v>3.0</v>
      </c>
      <c r="H43" s="11"/>
      <c r="I43" s="12" t="str">
        <f>IFERROR(ROUND(AVERAGE(I33:I42),2),"")</f>
        <v/>
      </c>
      <c r="J43" s="12"/>
    </row>
    <row r="44" ht="15.75" customHeight="1"/>
    <row r="45" ht="15.75" customHeight="1"/>
    <row r="46" ht="15.75" customHeight="1">
      <c r="A46" s="4" t="s">
        <v>15</v>
      </c>
      <c r="B46" s="2"/>
      <c r="C46" s="2"/>
      <c r="D46" s="2"/>
      <c r="E46" s="2"/>
      <c r="F46" s="2"/>
      <c r="G46" s="2"/>
      <c r="H46" s="2"/>
      <c r="I46" s="2"/>
      <c r="J46" s="3"/>
    </row>
    <row r="47" ht="15.75" customHeight="1">
      <c r="A47" s="5" t="s">
        <v>2</v>
      </c>
      <c r="B47" s="5" t="s">
        <v>3</v>
      </c>
      <c r="C47" s="5" t="s">
        <v>4</v>
      </c>
      <c r="D47" s="5" t="s">
        <v>5</v>
      </c>
      <c r="E47" s="5" t="s">
        <v>6</v>
      </c>
      <c r="F47" s="5" t="s">
        <v>7</v>
      </c>
      <c r="G47" s="5" t="s">
        <v>8</v>
      </c>
      <c r="H47" s="5" t="s">
        <v>9</v>
      </c>
      <c r="I47" s="5" t="s">
        <v>10</v>
      </c>
      <c r="J47" s="5" t="s">
        <v>11</v>
      </c>
    </row>
    <row r="48" ht="15.75" customHeight="1">
      <c r="A48" s="6">
        <v>1.0</v>
      </c>
      <c r="B48" s="8"/>
      <c r="C48" s="8"/>
      <c r="D48" s="7">
        <v>1.0</v>
      </c>
      <c r="E48" s="8"/>
      <c r="F48" s="8"/>
      <c r="G48" s="8"/>
      <c r="H48" s="8"/>
      <c r="I48" s="8"/>
      <c r="J48" s="9"/>
    </row>
    <row r="49" ht="15.75" customHeight="1">
      <c r="A49" s="6">
        <v>2.0</v>
      </c>
      <c r="B49" s="7">
        <v>1.0</v>
      </c>
      <c r="C49" s="8"/>
      <c r="D49" s="8"/>
      <c r="E49" s="8"/>
      <c r="F49" s="8"/>
      <c r="G49" s="8"/>
      <c r="H49" s="7">
        <v>18.34</v>
      </c>
      <c r="I49" s="8"/>
      <c r="J49" s="9"/>
    </row>
    <row r="50" ht="15.75" customHeight="1">
      <c r="A50" s="6">
        <v>3.0</v>
      </c>
      <c r="B50" s="7">
        <v>1.0</v>
      </c>
      <c r="C50" s="8"/>
      <c r="D50" s="8"/>
      <c r="E50" s="8"/>
      <c r="F50" s="8"/>
      <c r="G50" s="8"/>
      <c r="H50" s="7">
        <v>21.23</v>
      </c>
      <c r="I50" s="8"/>
      <c r="J50" s="9"/>
    </row>
    <row r="51" ht="15.75" customHeight="1">
      <c r="A51" s="6">
        <v>4.0</v>
      </c>
      <c r="B51" s="8"/>
      <c r="C51" s="8"/>
      <c r="D51" s="7">
        <v>1.0</v>
      </c>
      <c r="E51" s="8"/>
      <c r="F51" s="8"/>
      <c r="G51" s="8"/>
      <c r="H51" s="8"/>
      <c r="I51" s="8"/>
      <c r="J51" s="9"/>
    </row>
    <row r="52" ht="15.75" customHeight="1">
      <c r="A52" s="6">
        <v>5.0</v>
      </c>
      <c r="B52" s="8"/>
      <c r="C52" s="8"/>
      <c r="D52" s="7">
        <v>1.0</v>
      </c>
      <c r="E52" s="8"/>
      <c r="F52" s="8"/>
      <c r="G52" s="8"/>
      <c r="H52" s="8"/>
      <c r="I52" s="8"/>
      <c r="J52" s="9"/>
    </row>
    <row r="53" ht="15.75" customHeight="1">
      <c r="A53" s="6">
        <v>6.0</v>
      </c>
      <c r="B53" s="8"/>
      <c r="C53" s="8"/>
      <c r="D53" s="7">
        <v>1.0</v>
      </c>
      <c r="E53" s="8"/>
      <c r="F53" s="8"/>
      <c r="G53" s="8"/>
      <c r="H53" s="8"/>
      <c r="I53" s="8"/>
      <c r="J53" s="9"/>
    </row>
    <row r="54" ht="15.75" customHeight="1">
      <c r="A54" s="6">
        <v>7.0</v>
      </c>
      <c r="B54" s="8"/>
      <c r="C54" s="8"/>
      <c r="D54" s="7">
        <v>1.0</v>
      </c>
      <c r="E54" s="8"/>
      <c r="F54" s="7">
        <v>1.0</v>
      </c>
      <c r="G54" s="8"/>
      <c r="H54" s="8"/>
      <c r="I54" s="8"/>
      <c r="J54" s="9"/>
    </row>
    <row r="55" ht="15.75" customHeight="1">
      <c r="A55" s="6">
        <v>8.0</v>
      </c>
      <c r="B55" s="7">
        <v>1.0</v>
      </c>
      <c r="C55" s="8"/>
      <c r="D55" s="8"/>
      <c r="E55" s="8"/>
      <c r="F55" s="8"/>
      <c r="G55" s="8"/>
      <c r="H55" s="7">
        <v>21.81</v>
      </c>
      <c r="I55" s="8"/>
      <c r="J55" s="9"/>
    </row>
    <row r="56" ht="15.75" customHeight="1">
      <c r="A56" s="6">
        <v>9.0</v>
      </c>
      <c r="B56" s="7">
        <v>1.0</v>
      </c>
      <c r="C56" s="8"/>
      <c r="D56" s="8"/>
      <c r="E56" s="8"/>
      <c r="F56" s="8"/>
      <c r="G56" s="8"/>
      <c r="H56" s="7">
        <v>31.12</v>
      </c>
      <c r="I56" s="8"/>
      <c r="J56" s="9"/>
    </row>
    <row r="57" ht="15.75" customHeight="1">
      <c r="A57" s="6">
        <v>10.0</v>
      </c>
      <c r="B57" s="8"/>
      <c r="C57" s="8"/>
      <c r="D57" s="7">
        <v>1.0</v>
      </c>
      <c r="E57" s="8"/>
      <c r="F57" s="8"/>
      <c r="G57" s="8"/>
      <c r="H57" s="8"/>
      <c r="I57" s="8"/>
      <c r="J57" s="9"/>
    </row>
    <row r="58" ht="15.75" customHeight="1">
      <c r="A58" s="10" t="s">
        <v>12</v>
      </c>
      <c r="B58" s="11">
        <v>4.0</v>
      </c>
      <c r="C58" s="12">
        <f>COUNTIF(C48:C57,"Y")</f>
        <v>0</v>
      </c>
      <c r="D58" s="11">
        <v>6.0</v>
      </c>
      <c r="E58" s="12">
        <f>COUNTIF(E48:E57,"Y")</f>
        <v>0</v>
      </c>
      <c r="F58" s="11">
        <v>1.0</v>
      </c>
      <c r="G58" s="12">
        <f>COUNTIF(G48:G57,"Y")</f>
        <v>0</v>
      </c>
      <c r="H58" s="12">
        <f t="shared" ref="H58:I58" si="5">IFERROR(ROUND(AVERAGE(H48:H57),2),"")</f>
        <v>23.13</v>
      </c>
      <c r="I58" s="12" t="str">
        <f t="shared" si="5"/>
        <v/>
      </c>
      <c r="J58" s="12"/>
    </row>
    <row r="59" ht="15.75" customHeight="1"/>
    <row r="60" ht="15.75" customHeight="1">
      <c r="A60" s="4" t="s">
        <v>16</v>
      </c>
      <c r="B60" s="2"/>
      <c r="C60" s="2"/>
      <c r="D60" s="2"/>
      <c r="E60" s="2"/>
      <c r="F60" s="2"/>
      <c r="G60" s="2"/>
      <c r="H60" s="2"/>
      <c r="I60" s="2"/>
      <c r="J60" s="3"/>
    </row>
    <row r="61" ht="15.75" customHeight="1">
      <c r="A61" s="5" t="s">
        <v>2</v>
      </c>
      <c r="B61" s="5" t="s">
        <v>3</v>
      </c>
      <c r="C61" s="5" t="s">
        <v>4</v>
      </c>
      <c r="D61" s="5" t="s">
        <v>5</v>
      </c>
      <c r="E61" s="5" t="s">
        <v>6</v>
      </c>
      <c r="F61" s="5" t="s">
        <v>7</v>
      </c>
      <c r="G61" s="5" t="s">
        <v>8</v>
      </c>
      <c r="H61" s="5" t="s">
        <v>9</v>
      </c>
      <c r="I61" s="5" t="s">
        <v>10</v>
      </c>
      <c r="J61" s="5" t="s">
        <v>11</v>
      </c>
    </row>
    <row r="62" ht="15.75" customHeight="1">
      <c r="A62" s="6">
        <v>1.0</v>
      </c>
      <c r="B62" s="8"/>
      <c r="C62" s="8"/>
      <c r="D62" s="7">
        <v>1.0</v>
      </c>
      <c r="E62" s="8"/>
      <c r="F62" s="8"/>
      <c r="G62" s="8"/>
      <c r="H62" s="8"/>
      <c r="I62" s="8"/>
      <c r="J62" s="9"/>
    </row>
    <row r="63" ht="15.75" customHeight="1">
      <c r="A63" s="6">
        <v>2.0</v>
      </c>
      <c r="B63" s="7">
        <v>1.0</v>
      </c>
      <c r="C63" s="8"/>
      <c r="D63" s="7"/>
      <c r="E63" s="8"/>
      <c r="F63" s="8"/>
      <c r="G63" s="8"/>
      <c r="H63" s="7">
        <v>39.57</v>
      </c>
      <c r="I63" s="7"/>
      <c r="J63" s="9"/>
    </row>
    <row r="64" ht="15.75" customHeight="1">
      <c r="A64" s="6">
        <v>3.0</v>
      </c>
      <c r="B64" s="7">
        <v>1.0</v>
      </c>
      <c r="C64" s="8"/>
      <c r="D64" s="7"/>
      <c r="E64" s="8"/>
      <c r="F64" s="8"/>
      <c r="G64" s="8"/>
      <c r="H64" s="7">
        <v>34.0</v>
      </c>
      <c r="I64" s="8"/>
      <c r="J64" s="9"/>
    </row>
    <row r="65" ht="15.75" customHeight="1">
      <c r="A65" s="6">
        <v>4.0</v>
      </c>
      <c r="B65" s="8"/>
      <c r="C65" s="8"/>
      <c r="D65" s="7">
        <v>1.0</v>
      </c>
      <c r="E65" s="8"/>
      <c r="F65" s="8"/>
      <c r="G65" s="8"/>
      <c r="H65" s="8"/>
      <c r="I65" s="8"/>
      <c r="J65" s="9"/>
    </row>
    <row r="66" ht="15.75" customHeight="1">
      <c r="A66" s="6">
        <v>5.0</v>
      </c>
      <c r="B66" s="8"/>
      <c r="C66" s="8"/>
      <c r="D66" s="7">
        <v>1.0</v>
      </c>
      <c r="E66" s="8"/>
      <c r="F66" s="8"/>
      <c r="G66" s="8"/>
      <c r="H66" s="8"/>
      <c r="I66" s="8"/>
      <c r="J66" s="9"/>
    </row>
    <row r="67" ht="15.75" customHeight="1">
      <c r="A67" s="6">
        <v>6.0</v>
      </c>
      <c r="B67" s="8"/>
      <c r="C67" s="8"/>
      <c r="D67" s="7"/>
      <c r="E67" s="8"/>
      <c r="F67" s="8"/>
      <c r="G67" s="7">
        <v>1.0</v>
      </c>
      <c r="H67" s="8"/>
      <c r="I67" s="8"/>
      <c r="J67" s="9"/>
    </row>
    <row r="68" ht="15.75" customHeight="1">
      <c r="A68" s="6">
        <v>7.0</v>
      </c>
      <c r="B68" s="7">
        <v>1.0</v>
      </c>
      <c r="C68" s="8"/>
      <c r="D68" s="8"/>
      <c r="E68" s="8"/>
      <c r="F68" s="8"/>
      <c r="G68" s="8"/>
      <c r="H68" s="7">
        <v>31.25</v>
      </c>
      <c r="I68" s="8"/>
      <c r="J68" s="9"/>
    </row>
    <row r="69" ht="15.75" customHeight="1">
      <c r="A69" s="6">
        <v>8.0</v>
      </c>
      <c r="B69" s="8"/>
      <c r="C69" s="8"/>
      <c r="D69" s="7"/>
      <c r="E69" s="8"/>
      <c r="F69" s="8"/>
      <c r="G69" s="7">
        <v>1.0</v>
      </c>
      <c r="H69" s="8"/>
      <c r="I69" s="8"/>
      <c r="J69" s="9"/>
    </row>
    <row r="70" ht="15.75" customHeight="1">
      <c r="A70" s="6">
        <v>9.0</v>
      </c>
      <c r="B70" s="7">
        <v>1.0</v>
      </c>
      <c r="C70" s="8"/>
      <c r="D70" s="7"/>
      <c r="E70" s="8"/>
      <c r="F70" s="8"/>
      <c r="G70" s="8"/>
      <c r="H70" s="7">
        <v>33.34</v>
      </c>
      <c r="I70" s="8"/>
      <c r="J70" s="9"/>
    </row>
    <row r="71" ht="15.75" customHeight="1">
      <c r="A71" s="6">
        <v>10.0</v>
      </c>
      <c r="B71" s="7">
        <v>1.0</v>
      </c>
      <c r="C71" s="8"/>
      <c r="D71" s="8"/>
      <c r="E71" s="8"/>
      <c r="F71" s="8"/>
      <c r="G71" s="8"/>
      <c r="H71" s="7">
        <v>37.11</v>
      </c>
      <c r="I71" s="8"/>
      <c r="J71" s="9"/>
    </row>
    <row r="72" ht="15.75" customHeight="1">
      <c r="A72" s="10" t="s">
        <v>12</v>
      </c>
      <c r="B72" s="11">
        <v>5.0</v>
      </c>
      <c r="C72" s="12">
        <f>COUNTIF(C62:C71,"Y")</f>
        <v>0</v>
      </c>
      <c r="D72" s="11">
        <v>3.0</v>
      </c>
      <c r="E72" s="12">
        <f t="shared" ref="E72:F72" si="6">COUNTIF(E62:E71,"Y")</f>
        <v>0</v>
      </c>
      <c r="F72" s="12">
        <f t="shared" si="6"/>
        <v>0</v>
      </c>
      <c r="G72" s="11">
        <v>2.0</v>
      </c>
      <c r="H72" s="12">
        <f t="shared" ref="H72:I72" si="7">IFERROR(ROUND(AVERAGE(H62:H71),2),"")</f>
        <v>35.05</v>
      </c>
      <c r="I72" s="12" t="str">
        <f t="shared" si="7"/>
        <v/>
      </c>
      <c r="J72" s="1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6">
    <mergeCell ref="A1:J1"/>
    <mergeCell ref="A3:J3"/>
    <mergeCell ref="A17:J17"/>
    <mergeCell ref="A31:J31"/>
    <mergeCell ref="A46:J46"/>
    <mergeCell ref="A60:J60"/>
  </mergeCells>
  <printOptions/>
  <pageMargins bottom="1.0" footer="0.0" header="0.0" left="0.75" right="0.75" top="1.0"/>
  <pageSetup orientation="landscape"/>
  <drawing r:id="rId1"/>
</worksheet>
</file>